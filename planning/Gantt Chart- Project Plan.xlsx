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icollegestaff365-my.sharepoint.com/personal/adikwuj_chichester_ac_uk/Documents/26-27 Academic Year/Level 3- T-Level/Software Dev/Year 2/Week 4/New folder/"/>
    </mc:Choice>
  </mc:AlternateContent>
  <xr:revisionPtr revIDLastSave="31" documentId="8_{3EC8F10C-FDFF-49E1-B64D-AC5290BDE7D5}" xr6:coauthVersionLast="47" xr6:coauthVersionMax="47" xr10:uidLastSave="{3ACC55E7-C5D0-40BD-B0B6-0FEDCCA71D0A}"/>
  <bookViews>
    <workbookView xWindow="-120" yWindow="-120" windowWidth="29040" windowHeight="15720" firstSheet="1" activeTab="1" xr2:uid="{F4DAFA5E-6971-4D80-BF8E-CA62AF58B3FB}"/>
  </bookViews>
  <sheets>
    <sheet name="Agile_table" sheetId="3" state="hidden" r:id="rId1"/>
    <sheet name="Plan" sheetId="1" r:id="rId2"/>
    <sheet name="Key" sheetId="2" r:id="rId3"/>
  </sheets>
  <definedNames>
    <definedName name="ExternalData_1" localSheetId="0" hidden="1">Agile_table!$A$1:$J$20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1" l="1"/>
  <c r="I9" i="1"/>
  <c r="I10" i="1"/>
  <c r="I11" i="1"/>
  <c r="I12" i="1"/>
  <c r="I13" i="1"/>
  <c r="I14" i="1"/>
  <c r="I15" i="1"/>
  <c r="I16" i="1"/>
  <c r="I17" i="1"/>
  <c r="I18" i="1"/>
  <c r="I19" i="1"/>
  <c r="E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6A98B2-EF48-411C-8ED6-6880346E625C}" keepAlive="1" name="Query - Agile_table" description="Connection to the 'Agile_table' query in the workbook." type="5" refreshedVersion="8" background="1" saveData="1">
    <dbPr connection="Provider=Microsoft.Mashup.OleDb.1;Data Source=$Workbook$;Location=Agile_table;Extended Properties=&quot;&quot;" command="SELECT * FROM [Agile_table]"/>
  </connection>
</connections>
</file>

<file path=xl/sharedStrings.xml><?xml version="1.0" encoding="utf-8"?>
<sst xmlns="http://schemas.openxmlformats.org/spreadsheetml/2006/main" count="117" uniqueCount="72">
  <si>
    <t>Project Name:</t>
  </si>
  <si>
    <t>Project Manager:</t>
  </si>
  <si>
    <t>Start Date</t>
  </si>
  <si>
    <t xml:space="preserve">End Date </t>
  </si>
  <si>
    <t>Overall Progress</t>
  </si>
  <si>
    <t>Project Deliverables</t>
  </si>
  <si>
    <t>Scope Statement</t>
  </si>
  <si>
    <t>At Risk</t>
  </si>
  <si>
    <t>Task Name</t>
  </si>
  <si>
    <t>Feature Type</t>
  </si>
  <si>
    <t>Responsible</t>
  </si>
  <si>
    <t xml:space="preserve">Start Date </t>
  </si>
  <si>
    <t>End Date</t>
  </si>
  <si>
    <t>Duratrion</t>
  </si>
  <si>
    <t>Status</t>
  </si>
  <si>
    <t>Yes</t>
  </si>
  <si>
    <t>No</t>
  </si>
  <si>
    <t>Key</t>
  </si>
  <si>
    <t>Confirm requirements, scope and traceability baseline</t>
  </si>
  <si>
    <t>Plan site structure, navigation and main user journey</t>
  </si>
  <si>
    <t>Create wireframes</t>
  </si>
  <si>
    <t>Create interface style, ERD, data dictionary and system architecture</t>
  </si>
  <si>
    <t>Build Flask/Jinja core pages and navigation</t>
  </si>
  <si>
    <t>Sprint 0 – Pre-coding</t>
  </si>
  <si>
    <t>Sprint 1 – Foundation</t>
  </si>
  <si>
    <t>Sprint 2 – Catalogue &amp; Data</t>
  </si>
  <si>
    <t>Build catalogue/game details and connect SQLite</t>
  </si>
  <si>
    <t>Sprint 3 – Basket</t>
  </si>
  <si>
    <t>Sprint 4 – Checkout</t>
  </si>
  <si>
    <t>Build basket/order review and quantity validation</t>
  </si>
  <si>
    <t>Build simulated checkout, save order and confirmation</t>
  </si>
  <si>
    <t>Main Deliverables</t>
  </si>
  <si>
    <t>Depends On</t>
  </si>
  <si>
    <t>Sprint 5 – QA</t>
  </si>
  <si>
    <t>Sprint 6 – QA</t>
  </si>
  <si>
    <t>Test against requirements and acceptance criteria</t>
  </si>
  <si>
    <t>Fix defects, retest and complete final review</t>
  </si>
  <si>
    <t>New</t>
  </si>
  <si>
    <t>Improvement</t>
  </si>
  <si>
    <t>Bug</t>
  </si>
  <si>
    <t>Stable requirements, priorities and traceability baseline</t>
  </si>
  <si>
    <t>Site map and main user journey</t>
  </si>
  <si>
    <t>Low-fidelity wireframes with accessibility notes</t>
  </si>
  <si>
    <t>UI style guide, ERD, data dictionary, architecture/build sequence</t>
  </si>
  <si>
    <t>Working base template, routes, navigation and responsive core pages</t>
  </si>
  <si>
    <t>Catalogue/details driven by database data</t>
  </si>
  <si>
    <t>End-to-end order journey and stored order data</t>
  </si>
  <si>
    <t xml:space="preserve">Working basket with add/update/remove and validation </t>
  </si>
  <si>
    <t>Completed test results, defects and evidence</t>
  </si>
  <si>
    <t>Passed retests, updated evidence and final review</t>
  </si>
  <si>
    <t>Release Buffer</t>
  </si>
  <si>
    <t>Contingency, regression testing and final evidence check</t>
  </si>
  <si>
    <t>Release-ready PixelForge project and evidence pack</t>
  </si>
  <si>
    <t xml:space="preserve"> Project Plan</t>
  </si>
  <si>
    <t>Café 19  Ordering System</t>
  </si>
  <si>
    <t>John Adikwu</t>
  </si>
  <si>
    <t>Not Stated</t>
  </si>
  <si>
    <t>In Progress</t>
  </si>
  <si>
    <t>Complete</t>
  </si>
  <si>
    <t>Need Review</t>
  </si>
  <si>
    <t>Approved</t>
  </si>
  <si>
    <t>Over Due</t>
  </si>
  <si>
    <t>On Hold</t>
  </si>
  <si>
    <t>Requirements, scope and traceability</t>
  </si>
  <si>
    <t>Site structure, navigation and main user journey</t>
  </si>
  <si>
    <t>UI style, ERD, data dictionary and system architecture</t>
  </si>
  <si>
    <t>Wireframes</t>
  </si>
  <si>
    <t>Catalogue/game details and connect SQLite</t>
  </si>
  <si>
    <t>Basket/order review and quantity validation</t>
  </si>
  <si>
    <t>Simulated checkout, save order and confirmation</t>
  </si>
  <si>
    <t>System Analyst</t>
  </si>
  <si>
    <t>Problem Identification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</si>
</sst>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2" fillId="2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 indent="2"/>
    </xf>
    <xf numFmtId="14" fontId="0" fillId="2" borderId="0" xfId="0" applyNumberFormat="1" applyFill="1"/>
    <xf numFmtId="14" fontId="0" fillId="0" borderId="0" xfId="0" applyNumberFormat="1"/>
    <xf numFmtId="14" fontId="1" fillId="2" borderId="0" xfId="0" applyNumberFormat="1" applyFont="1" applyFill="1"/>
    <xf numFmtId="14" fontId="1" fillId="2" borderId="1" xfId="0" applyNumberFormat="1" applyFont="1" applyFill="1" applyBorder="1"/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left" vertical="top" wrapText="1" indent="2"/>
    </xf>
    <xf numFmtId="0" fontId="0" fillId="0" borderId="2" xfId="0" applyBorder="1"/>
    <xf numFmtId="0" fontId="0" fillId="0" borderId="2" xfId="0" applyBorder="1" applyAlignment="1">
      <alignment vertical="top" wrapText="1"/>
    </xf>
    <xf numFmtId="14" fontId="0" fillId="0" borderId="1" xfId="0" applyNumberFormat="1" applyBorder="1"/>
    <xf numFmtId="22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164" formatCode="dd/mm/yy\ hh:mm"/>
    </dxf>
    <dxf>
      <numFmt numFmtId="164" formatCode="dd/mm/yy\ hh:mm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d/mm/yy"/>
    </dxf>
    <dxf>
      <numFmt numFmtId="165" formatCode="dd/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1" xr9:uid="{7C5E521D-96E8-469E-B1DE-71594835D35E}">
      <tableStyleElement type="wholeTabl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Plan!$G$8</c:f>
              <c:strCache>
                <c:ptCount val="1"/>
                <c:pt idx="0">
                  <c:v>Start Date 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Plan!$C$9:$C$19</c:f>
              <c:strCache>
                <c:ptCount val="11"/>
                <c:pt idx="0">
                  <c:v>Requirements, scope and traceability</c:v>
                </c:pt>
                <c:pt idx="1">
                  <c:v>Site structure, navigation and main user journey</c:v>
                </c:pt>
                <c:pt idx="2">
                  <c:v>Wireframes</c:v>
                </c:pt>
                <c:pt idx="3">
                  <c:v>UI style, ERD, data dictionary and system architecture</c:v>
                </c:pt>
                <c:pt idx="4">
                  <c:v>Build Flask/Jinja core pages and navigation</c:v>
                </c:pt>
                <c:pt idx="5">
                  <c:v>Catalogue/game details and connect SQLite</c:v>
                </c:pt>
                <c:pt idx="6">
                  <c:v>Basket/order review and quantity validation</c:v>
                </c:pt>
                <c:pt idx="7">
                  <c:v>Simulated checkout, save order and confirmation</c:v>
                </c:pt>
                <c:pt idx="8">
                  <c:v>Test against requirements and acceptance criteria</c:v>
                </c:pt>
                <c:pt idx="9">
                  <c:v>Fix defects, retest and complete final review</c:v>
                </c:pt>
                <c:pt idx="10">
                  <c:v>Contingency, regression testing and final evidence check</c:v>
                </c:pt>
              </c:strCache>
            </c:strRef>
          </c:cat>
          <c:val>
            <c:numRef>
              <c:f>Plan!$G$9:$G$19</c:f>
              <c:numCache>
                <c:formatCode>m/d/yyyy</c:formatCode>
                <c:ptCount val="11"/>
                <c:pt idx="0">
                  <c:v>46301</c:v>
                </c:pt>
                <c:pt idx="1">
                  <c:v>46308</c:v>
                </c:pt>
                <c:pt idx="2">
                  <c:v>46308</c:v>
                </c:pt>
                <c:pt idx="3">
                  <c:v>46315</c:v>
                </c:pt>
                <c:pt idx="4">
                  <c:v>46329</c:v>
                </c:pt>
                <c:pt idx="5">
                  <c:v>46343</c:v>
                </c:pt>
                <c:pt idx="6">
                  <c:v>46358</c:v>
                </c:pt>
                <c:pt idx="7">
                  <c:v>46371</c:v>
                </c:pt>
                <c:pt idx="8">
                  <c:v>46399</c:v>
                </c:pt>
                <c:pt idx="9">
                  <c:v>46406</c:v>
                </c:pt>
                <c:pt idx="10">
                  <c:v>46408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0-4290-BD08-A2A6EB14598A}"/>
            </c:ext>
          </c:extLst>
        </c:ser>
        <c:ser>
          <c:idx val="1"/>
          <c:order val="1"/>
          <c:tx>
            <c:strRef>
              <c:f>Plan!$I$8</c:f>
              <c:strCache>
                <c:ptCount val="1"/>
                <c:pt idx="0">
                  <c:v>Duratrion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C0-4290-BD08-A2A6EB14598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C0-4290-BD08-A2A6EB14598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7C0-4290-BD08-A2A6EB14598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C0-4290-BD08-A2A6EB14598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7C0-4290-BD08-A2A6EB14598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7C0-4290-BD08-A2A6EB14598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7C0-4290-BD08-A2A6EB14598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7C0-4290-BD08-A2A6EB14598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7C0-4290-BD08-A2A6EB14598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7C0-4290-BD08-A2A6EB14598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37C0-4290-BD08-A2A6EB14598A}"/>
              </c:ext>
            </c:extLst>
          </c:dPt>
          <c:cat>
            <c:strRef>
              <c:f>Plan!$C$9:$C$19</c:f>
              <c:strCache>
                <c:ptCount val="11"/>
                <c:pt idx="0">
                  <c:v>Requirements, scope and traceability</c:v>
                </c:pt>
                <c:pt idx="1">
                  <c:v>Site structure, navigation and main user journey</c:v>
                </c:pt>
                <c:pt idx="2">
                  <c:v>Wireframes</c:v>
                </c:pt>
                <c:pt idx="3">
                  <c:v>UI style, ERD, data dictionary and system architecture</c:v>
                </c:pt>
                <c:pt idx="4">
                  <c:v>Build Flask/Jinja core pages and navigation</c:v>
                </c:pt>
                <c:pt idx="5">
                  <c:v>Catalogue/game details and connect SQLite</c:v>
                </c:pt>
                <c:pt idx="6">
                  <c:v>Basket/order review and quantity validation</c:v>
                </c:pt>
                <c:pt idx="7">
                  <c:v>Simulated checkout, save order and confirmation</c:v>
                </c:pt>
                <c:pt idx="8">
                  <c:v>Test against requirements and acceptance criteria</c:v>
                </c:pt>
                <c:pt idx="9">
                  <c:v>Fix defects, retest and complete final review</c:v>
                </c:pt>
                <c:pt idx="10">
                  <c:v>Contingency, regression testing and final evidence check</c:v>
                </c:pt>
              </c:strCache>
            </c:strRef>
          </c:cat>
          <c:val>
            <c:numRef>
              <c:f>Plan!$I$9:$I$19</c:f>
              <c:numCache>
                <c:formatCode>General</c:formatCode>
                <c:ptCount val="1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22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C0-4290-BD08-A2A6EB145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370897487"/>
        <c:axId val="950603567"/>
      </c:barChart>
      <c:catAx>
        <c:axId val="137089748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950603567"/>
        <c:crosses val="autoZero"/>
        <c:auto val="1"/>
        <c:lblAlgn val="ctr"/>
        <c:lblOffset val="100"/>
        <c:noMultiLvlLbl val="0"/>
      </c:catAx>
      <c:valAx>
        <c:axId val="950603567"/>
        <c:scaling>
          <c:orientation val="minMax"/>
          <c:max val="46417"/>
          <c:min val="4629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70897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aseline="0"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326570</xdr:colOff>
      <xdr:row>19</xdr:row>
      <xdr:rowOff>174171</xdr:rowOff>
    </xdr:from>
    <xdr:to>
      <xdr:col>12</xdr:col>
      <xdr:colOff>348342</xdr:colOff>
      <xdr:row>66</xdr:row>
      <xdr:rowOff>10884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93C9E6-DEAE-3F9B-E505-78BC168DE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2AED5C-4C34-4A52-8205-5A8EB50AE183}" autoFormatId="16" applyNumberFormats="0" applyBorderFormats="0" applyFontFormats="0" applyPatternFormats="0" applyAlignmentFormats="0" applyWidthHeightFormats="0">
  <queryTableRefresh nextId="11">
    <queryTableFields count="10">
      <queryTableField id="1" name="At Risk" tableColumnId="1"/>
      <queryTableField id="2" name="Task Name" tableColumnId="2"/>
      <queryTableField id="3" name="Feature Type" tableColumnId="3"/>
      <queryTableField id="4" name="Responsible" tableColumnId="4"/>
      <queryTableField id="5" name="Depends On" tableColumnId="5"/>
      <queryTableField id="6" name="Start Date " tableColumnId="6"/>
      <queryTableField id="7" name="End Date" tableColumnId="7"/>
      <queryTableField id="8" name="Duratrion" tableColumnId="8"/>
      <queryTableField id="9" name="Status" tableColumnId="9"/>
      <queryTableField id="10" name="Main Deliverable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08C8F1-D0C3-437D-BDED-A9BDE57B846E}" name="Agile_table_1" displayName="Agile_table_1" ref="A1:J20" tableType="queryTable" totalsRowShown="0">
  <autoFilter ref="A1:J20" xr:uid="{6108C8F1-D0C3-437D-BDED-A9BDE57B846E}"/>
  <tableColumns count="10">
    <tableColumn id="1" xr3:uid="{B6C0C4A4-1A98-4D6F-A9FE-20FAA9802FD9}" uniqueName="1" name="At Risk" queryTableFieldId="1" dataDxfId="4"/>
    <tableColumn id="2" xr3:uid="{AA20A51A-4D86-4DF9-A52F-729760597848}" uniqueName="2" name="Task Name" queryTableFieldId="2" dataDxfId="3"/>
    <tableColumn id="3" xr3:uid="{299EF712-2BC5-414B-B1BD-0B4B07DDE571}" uniqueName="3" name="Feature Type" queryTableFieldId="3"/>
    <tableColumn id="4" xr3:uid="{1BAA5E4D-15DD-48B9-9286-149568E2310F}" uniqueName="4" name="Responsible" queryTableFieldId="4"/>
    <tableColumn id="5" xr3:uid="{4F961FE2-AFAC-456D-89D1-BF601F6EE436}" uniqueName="5" name="Depends On" queryTableFieldId="5"/>
    <tableColumn id="6" xr3:uid="{09E9A848-F666-4B2C-A2F3-20D2FBAAC0B3}" uniqueName="6" name="Start Date " queryTableFieldId="6" dataDxfId="2"/>
    <tableColumn id="7" xr3:uid="{9E6A8ADD-A4CE-43F6-8F89-C392B5555811}" uniqueName="7" name="End Date" queryTableFieldId="7" dataDxfId="1"/>
    <tableColumn id="8" xr3:uid="{9BEC96C3-1F72-492C-9060-88CBCEF01C57}" uniqueName="8" name="Duratrion" queryTableFieldId="8"/>
    <tableColumn id="9" xr3:uid="{29F69D51-C0FC-4329-AB96-3F8FD559955A}" uniqueName="9" name="Status" queryTableFieldId="9"/>
    <tableColumn id="10" xr3:uid="{36142C85-4AE8-43E5-9C42-B3AE8F5D3BE1}" uniqueName="10" name="Main Deliverables" queryTableFieldId="1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609654-F3A8-446A-8689-96691BB5040C}" name="Agile_table" displayName="Agile_table" ref="B8:K19" totalsRowShown="0" headerRowDxfId="8">
  <autoFilter ref="B8:K19" xr:uid="{C9609654-F3A8-446A-8689-96691BB5040C}"/>
  <tableColumns count="10">
    <tableColumn id="1" xr3:uid="{4E6DFDE6-6B93-453C-83BA-7594FBDE2F37}" name="At Risk"/>
    <tableColumn id="2" xr3:uid="{3AD212DF-2D7F-42C1-9949-D857DC553268}" name="Task Name"/>
    <tableColumn id="3" xr3:uid="{60E61351-8C83-4AE0-9133-7E745C33F5C3}" name="Feature Type"/>
    <tableColumn id="4" xr3:uid="{4AB849A8-F08A-4035-AD71-93687632A61B}" name="Responsible"/>
    <tableColumn id="5" xr3:uid="{31EB91CE-96D7-49E8-B1F4-2D41369DEB5B}" name="Depends On"/>
    <tableColumn id="6" xr3:uid="{67CFB98D-D421-4BD8-B9CD-48EBE8AD730F}" name="Start Date " dataDxfId="7"/>
    <tableColumn id="7" xr3:uid="{FA5F58BC-D822-4C69-9E0B-6A66EE017AEE}" name="End Date" dataDxfId="6"/>
    <tableColumn id="8" xr3:uid="{38988347-5E51-4F7F-AD36-3592581B9B73}" name="Duratrion" dataDxfId="5">
      <calculatedColumnFormula>IF(OR(G9="",H9=""),"",H9-G9+1)</calculatedColumnFormula>
    </tableColumn>
    <tableColumn id="9" xr3:uid="{F086E454-535B-433C-B285-4A7146BD51AA}" name="Status"/>
    <tableColumn id="10" xr3:uid="{62556402-03D1-46A0-829F-87D7FC976278}" name="Main Deliverables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46E23-86F9-4EC9-91CC-FD7DB13F38BC}">
  <dimension ref="A1:J20"/>
  <sheetViews>
    <sheetView workbookViewId="0"/>
  </sheetViews>
  <sheetFormatPr defaultRowHeight="15" x14ac:dyDescent="0.25"/>
  <cols>
    <col min="2" max="2" width="55.7109375" bestFit="1" customWidth="1"/>
    <col min="3" max="3" width="13.7109375" bestFit="1" customWidth="1"/>
    <col min="4" max="4" width="13.42578125" bestFit="1" customWidth="1"/>
    <col min="5" max="7" width="13.28515625" bestFit="1" customWidth="1"/>
    <col min="8" max="8" width="11" bestFit="1" customWidth="1"/>
    <col min="9" max="9" width="8.5703125" bestFit="1" customWidth="1"/>
    <col min="10" max="10" width="56.85546875" bestFit="1" customWidth="1"/>
  </cols>
  <sheetData>
    <row r="1" spans="1:10" x14ac:dyDescent="0.25">
      <c r="A1" t="s">
        <v>7</v>
      </c>
      <c r="B1" t="s">
        <v>8</v>
      </c>
      <c r="C1" t="s">
        <v>9</v>
      </c>
      <c r="D1" t="s">
        <v>10</v>
      </c>
      <c r="E1" t="s">
        <v>32</v>
      </c>
      <c r="F1" t="s">
        <v>11</v>
      </c>
      <c r="G1" t="s">
        <v>12</v>
      </c>
      <c r="H1" t="s">
        <v>13</v>
      </c>
      <c r="I1" t="s">
        <v>14</v>
      </c>
      <c r="J1" t="s">
        <v>31</v>
      </c>
    </row>
    <row r="2" spans="1:10" x14ac:dyDescent="0.25">
      <c r="A2" t="s">
        <v>15</v>
      </c>
      <c r="B2" t="s">
        <v>23</v>
      </c>
      <c r="F2" s="18">
        <v>46300</v>
      </c>
      <c r="G2" s="18">
        <v>46305</v>
      </c>
    </row>
    <row r="3" spans="1:10" x14ac:dyDescent="0.25">
      <c r="B3" t="s">
        <v>18</v>
      </c>
      <c r="F3" s="18">
        <v>46301</v>
      </c>
      <c r="G3" s="18">
        <v>46305</v>
      </c>
      <c r="J3" t="s">
        <v>40</v>
      </c>
    </row>
    <row r="4" spans="1:10" x14ac:dyDescent="0.25">
      <c r="B4" t="s">
        <v>19</v>
      </c>
      <c r="F4" s="18">
        <v>46308</v>
      </c>
      <c r="G4" s="18">
        <v>46312</v>
      </c>
      <c r="J4" t="s">
        <v>41</v>
      </c>
    </row>
    <row r="5" spans="1:10" x14ac:dyDescent="0.25">
      <c r="B5" t="s">
        <v>20</v>
      </c>
      <c r="F5" s="18">
        <v>46308</v>
      </c>
      <c r="G5" s="18">
        <v>46312</v>
      </c>
      <c r="J5" t="s">
        <v>42</v>
      </c>
    </row>
    <row r="6" spans="1:10" x14ac:dyDescent="0.25">
      <c r="B6" t="s">
        <v>21</v>
      </c>
      <c r="F6" s="18">
        <v>46315</v>
      </c>
      <c r="G6" s="18">
        <v>46319</v>
      </c>
      <c r="J6" t="s">
        <v>43</v>
      </c>
    </row>
    <row r="7" spans="1:10" x14ac:dyDescent="0.25">
      <c r="B7" t="s">
        <v>24</v>
      </c>
      <c r="F7" s="18">
        <v>46328</v>
      </c>
      <c r="G7" s="18">
        <v>46328</v>
      </c>
    </row>
    <row r="8" spans="1:10" x14ac:dyDescent="0.25">
      <c r="B8" t="s">
        <v>22</v>
      </c>
      <c r="F8" s="18">
        <v>46329</v>
      </c>
      <c r="G8" s="18">
        <v>46336</v>
      </c>
      <c r="J8" t="s">
        <v>44</v>
      </c>
    </row>
    <row r="9" spans="1:10" x14ac:dyDescent="0.25">
      <c r="B9" t="s">
        <v>25</v>
      </c>
      <c r="F9" s="18">
        <v>46342</v>
      </c>
      <c r="G9" s="18">
        <v>46350</v>
      </c>
    </row>
    <row r="10" spans="1:10" x14ac:dyDescent="0.25">
      <c r="B10" t="s">
        <v>26</v>
      </c>
      <c r="F10" s="18">
        <v>46343</v>
      </c>
      <c r="G10" s="18">
        <v>46350</v>
      </c>
      <c r="J10" t="s">
        <v>45</v>
      </c>
    </row>
    <row r="11" spans="1:10" x14ac:dyDescent="0.25">
      <c r="B11" t="s">
        <v>27</v>
      </c>
      <c r="F11" s="18">
        <v>46357</v>
      </c>
      <c r="G11" s="18">
        <v>46364</v>
      </c>
    </row>
    <row r="12" spans="1:10" x14ac:dyDescent="0.25">
      <c r="B12" t="s">
        <v>29</v>
      </c>
      <c r="F12" s="18">
        <v>46358</v>
      </c>
      <c r="G12" s="18">
        <v>46364</v>
      </c>
      <c r="J12" t="s">
        <v>47</v>
      </c>
    </row>
    <row r="13" spans="1:10" x14ac:dyDescent="0.25">
      <c r="B13" t="s">
        <v>28</v>
      </c>
      <c r="F13" s="18">
        <v>46370</v>
      </c>
      <c r="G13" s="18">
        <v>46392</v>
      </c>
    </row>
    <row r="14" spans="1:10" x14ac:dyDescent="0.25">
      <c r="B14" t="s">
        <v>30</v>
      </c>
      <c r="F14" s="18">
        <v>46371</v>
      </c>
      <c r="G14" s="18">
        <v>46392</v>
      </c>
      <c r="J14" t="s">
        <v>46</v>
      </c>
    </row>
    <row r="15" spans="1:10" x14ac:dyDescent="0.25">
      <c r="B15" t="s">
        <v>33</v>
      </c>
      <c r="F15" s="18">
        <v>46399</v>
      </c>
      <c r="G15" s="18">
        <v>46399</v>
      </c>
    </row>
    <row r="16" spans="1:10" x14ac:dyDescent="0.25">
      <c r="B16" t="s">
        <v>35</v>
      </c>
      <c r="F16" s="18">
        <v>46399</v>
      </c>
      <c r="G16" s="18">
        <v>46399</v>
      </c>
      <c r="J16" t="s">
        <v>48</v>
      </c>
    </row>
    <row r="17" spans="2:10" x14ac:dyDescent="0.25">
      <c r="B17" t="s">
        <v>34</v>
      </c>
      <c r="F17" s="18">
        <v>46406</v>
      </c>
      <c r="G17" s="18">
        <v>46406</v>
      </c>
    </row>
    <row r="18" spans="2:10" x14ac:dyDescent="0.25">
      <c r="B18" t="s">
        <v>36</v>
      </c>
      <c r="F18" s="18">
        <v>46407</v>
      </c>
      <c r="G18" s="18">
        <v>46406</v>
      </c>
      <c r="J18" t="s">
        <v>49</v>
      </c>
    </row>
    <row r="19" spans="2:10" x14ac:dyDescent="0.25">
      <c r="B19" t="s">
        <v>50</v>
      </c>
      <c r="F19" s="18">
        <v>46408</v>
      </c>
      <c r="G19" s="18">
        <v>46413</v>
      </c>
    </row>
    <row r="20" spans="2:10" x14ac:dyDescent="0.25">
      <c r="B20" t="s">
        <v>51</v>
      </c>
      <c r="F20" s="18">
        <v>46408</v>
      </c>
      <c r="G20" s="18">
        <v>46408</v>
      </c>
      <c r="J20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99D7-BB70-4ABE-B459-9549943E72E4}">
  <dimension ref="A1:K19"/>
  <sheetViews>
    <sheetView showGridLines="0" tabSelected="1" topLeftCell="A15" zoomScale="120" zoomScaleNormal="120" workbookViewId="0">
      <selection activeCell="C9" sqref="C9"/>
    </sheetView>
  </sheetViews>
  <sheetFormatPr defaultRowHeight="15" x14ac:dyDescent="0.25"/>
  <cols>
    <col min="1" max="1" width="17.7109375" bestFit="1" customWidth="1"/>
    <col min="2" max="2" width="15.28515625" bestFit="1" customWidth="1"/>
    <col min="3" max="3" width="34" customWidth="1"/>
    <col min="4" max="4" width="19.28515625" customWidth="1"/>
    <col min="5" max="5" width="14.28515625" customWidth="1"/>
    <col min="6" max="6" width="20.85546875" bestFit="1" customWidth="1"/>
    <col min="7" max="7" width="15.5703125" style="9" customWidth="1"/>
    <col min="8" max="8" width="31" style="9" customWidth="1"/>
    <col min="9" max="9" width="37.85546875" customWidth="1"/>
    <col min="10" max="10" width="16.42578125" customWidth="1"/>
    <col min="11" max="11" width="40.28515625" customWidth="1"/>
  </cols>
  <sheetData>
    <row r="1" spans="1:11" x14ac:dyDescent="0.25">
      <c r="A1" s="1"/>
      <c r="B1" s="1"/>
      <c r="C1" s="1"/>
      <c r="D1" s="1"/>
      <c r="E1" s="1"/>
      <c r="F1" s="1"/>
      <c r="G1" s="8"/>
      <c r="H1" s="8"/>
      <c r="I1" s="1"/>
    </row>
    <row r="2" spans="1:11" x14ac:dyDescent="0.25">
      <c r="A2" s="2" t="s">
        <v>53</v>
      </c>
      <c r="B2" s="1"/>
      <c r="C2" s="1"/>
      <c r="D2" s="1"/>
      <c r="E2" s="1"/>
      <c r="F2" s="1"/>
      <c r="G2" s="8"/>
      <c r="H2" s="8"/>
      <c r="I2" s="1"/>
    </row>
    <row r="4" spans="1:11" x14ac:dyDescent="0.25">
      <c r="B4" s="3" t="s">
        <v>0</v>
      </c>
      <c r="C4" s="4" t="s">
        <v>54</v>
      </c>
      <c r="D4" s="3" t="s">
        <v>2</v>
      </c>
      <c r="E4" s="3" t="s">
        <v>3</v>
      </c>
      <c r="F4" s="3" t="s">
        <v>4</v>
      </c>
      <c r="H4" s="11" t="s">
        <v>5</v>
      </c>
      <c r="I4" s="4"/>
    </row>
    <row r="5" spans="1:11" x14ac:dyDescent="0.25">
      <c r="B5" s="3" t="s">
        <v>1</v>
      </c>
      <c r="C5" s="4" t="s">
        <v>55</v>
      </c>
      <c r="D5" s="17">
        <f>G9</f>
        <v>46301</v>
      </c>
      <c r="E5" s="17">
        <f>H19</f>
        <v>46408</v>
      </c>
      <c r="F5" s="4"/>
      <c r="H5" s="11" t="s">
        <v>6</v>
      </c>
      <c r="I5" s="4"/>
    </row>
    <row r="8" spans="1:11" x14ac:dyDescent="0.25">
      <c r="B8" s="2" t="s">
        <v>7</v>
      </c>
      <c r="C8" s="2" t="s">
        <v>8</v>
      </c>
      <c r="D8" s="2" t="s">
        <v>9</v>
      </c>
      <c r="E8" s="2" t="s">
        <v>10</v>
      </c>
      <c r="F8" s="2" t="s">
        <v>32</v>
      </c>
      <c r="G8" s="10" t="s">
        <v>11</v>
      </c>
      <c r="H8" s="10" t="s">
        <v>12</v>
      </c>
      <c r="I8" s="2" t="s">
        <v>13</v>
      </c>
      <c r="J8" s="2" t="s">
        <v>14</v>
      </c>
      <c r="K8" s="2" t="s">
        <v>31</v>
      </c>
    </row>
    <row r="9" spans="1:11" ht="30" x14ac:dyDescent="0.25">
      <c r="B9" t="s">
        <v>16</v>
      </c>
      <c r="C9" s="7" t="s">
        <v>63</v>
      </c>
      <c r="D9" t="s">
        <v>37</v>
      </c>
      <c r="E9" t="s">
        <v>70</v>
      </c>
      <c r="F9" t="s">
        <v>71</v>
      </c>
      <c r="G9" s="9">
        <v>46301</v>
      </c>
      <c r="H9" s="9">
        <v>46305</v>
      </c>
      <c r="I9">
        <f t="shared" ref="I9:I19" si="0">IF(OR(G9="",H9=""),"",H9-G9+1)</f>
        <v>5</v>
      </c>
      <c r="J9" t="s">
        <v>56</v>
      </c>
      <c r="K9" s="6" t="s">
        <v>40</v>
      </c>
    </row>
    <row r="10" spans="1:11" ht="30" x14ac:dyDescent="0.25">
      <c r="B10" t="s">
        <v>16</v>
      </c>
      <c r="C10" s="7" t="s">
        <v>64</v>
      </c>
      <c r="D10" t="s">
        <v>37</v>
      </c>
      <c r="G10" s="9">
        <v>46308</v>
      </c>
      <c r="H10" s="9">
        <v>46312</v>
      </c>
      <c r="I10">
        <f t="shared" si="0"/>
        <v>5</v>
      </c>
      <c r="K10" s="6" t="s">
        <v>41</v>
      </c>
    </row>
    <row r="11" spans="1:11" ht="30" x14ac:dyDescent="0.25">
      <c r="B11" t="s">
        <v>16</v>
      </c>
      <c r="C11" s="7" t="s">
        <v>66</v>
      </c>
      <c r="G11" s="9">
        <v>46308</v>
      </c>
      <c r="H11" s="9">
        <v>46312</v>
      </c>
      <c r="I11">
        <f t="shared" si="0"/>
        <v>5</v>
      </c>
      <c r="K11" s="6" t="s">
        <v>42</v>
      </c>
    </row>
    <row r="12" spans="1:11" ht="30" x14ac:dyDescent="0.25">
      <c r="B12" t="s">
        <v>16</v>
      </c>
      <c r="C12" s="7" t="s">
        <v>65</v>
      </c>
      <c r="D12" t="s">
        <v>37</v>
      </c>
      <c r="G12" s="9">
        <v>46315</v>
      </c>
      <c r="H12" s="9">
        <v>46319</v>
      </c>
      <c r="I12">
        <f t="shared" si="0"/>
        <v>5</v>
      </c>
      <c r="K12" s="6" t="s">
        <v>43</v>
      </c>
    </row>
    <row r="13" spans="1:11" ht="30" x14ac:dyDescent="0.25">
      <c r="B13" t="s">
        <v>16</v>
      </c>
      <c r="C13" s="7" t="s">
        <v>22</v>
      </c>
      <c r="D13" t="s">
        <v>37</v>
      </c>
      <c r="G13" s="9">
        <v>46329</v>
      </c>
      <c r="H13" s="9">
        <v>46336</v>
      </c>
      <c r="I13">
        <f t="shared" si="0"/>
        <v>8</v>
      </c>
      <c r="K13" s="6" t="s">
        <v>44</v>
      </c>
    </row>
    <row r="14" spans="1:11" ht="30" x14ac:dyDescent="0.25">
      <c r="C14" s="7" t="s">
        <v>67</v>
      </c>
      <c r="D14" t="s">
        <v>37</v>
      </c>
      <c r="G14" s="9">
        <v>46343</v>
      </c>
      <c r="H14" s="9">
        <v>46350</v>
      </c>
      <c r="I14">
        <f t="shared" si="0"/>
        <v>8</v>
      </c>
      <c r="K14" s="6" t="s">
        <v>45</v>
      </c>
    </row>
    <row r="15" spans="1:11" ht="30" x14ac:dyDescent="0.25">
      <c r="C15" s="7" t="s">
        <v>68</v>
      </c>
      <c r="D15" t="s">
        <v>37</v>
      </c>
      <c r="G15" s="9">
        <v>46358</v>
      </c>
      <c r="H15" s="9">
        <v>46364</v>
      </c>
      <c r="I15">
        <f t="shared" si="0"/>
        <v>7</v>
      </c>
      <c r="K15" s="13" t="s">
        <v>47</v>
      </c>
    </row>
    <row r="16" spans="1:11" ht="30" x14ac:dyDescent="0.25">
      <c r="C16" s="7" t="s">
        <v>69</v>
      </c>
      <c r="D16" t="s">
        <v>37</v>
      </c>
      <c r="G16" s="9">
        <v>46371</v>
      </c>
      <c r="H16" s="9">
        <v>46392</v>
      </c>
      <c r="I16">
        <f t="shared" si="0"/>
        <v>22</v>
      </c>
      <c r="K16" s="13" t="s">
        <v>46</v>
      </c>
    </row>
    <row r="17" spans="3:11" ht="30" x14ac:dyDescent="0.25">
      <c r="C17" s="7" t="s">
        <v>35</v>
      </c>
      <c r="D17" t="s">
        <v>37</v>
      </c>
      <c r="G17" s="9">
        <v>46399</v>
      </c>
      <c r="H17" s="9">
        <v>46399</v>
      </c>
      <c r="I17">
        <f t="shared" si="0"/>
        <v>1</v>
      </c>
      <c r="K17" s="13" t="s">
        <v>48</v>
      </c>
    </row>
    <row r="18" spans="3:11" ht="30" x14ac:dyDescent="0.25">
      <c r="C18" s="12" t="s">
        <v>36</v>
      </c>
      <c r="D18" s="4" t="s">
        <v>37</v>
      </c>
      <c r="G18" s="9">
        <v>46406</v>
      </c>
      <c r="H18" s="9">
        <v>46406</v>
      </c>
      <c r="I18">
        <f t="shared" si="0"/>
        <v>1</v>
      </c>
      <c r="K18" s="13" t="s">
        <v>49</v>
      </c>
    </row>
    <row r="19" spans="3:11" ht="30" x14ac:dyDescent="0.25">
      <c r="C19" s="14" t="s">
        <v>51</v>
      </c>
      <c r="D19" s="15" t="s">
        <v>37</v>
      </c>
      <c r="G19" s="9">
        <v>46408</v>
      </c>
      <c r="H19" s="9">
        <v>46408</v>
      </c>
      <c r="I19">
        <f t="shared" si="0"/>
        <v>1</v>
      </c>
      <c r="K19" s="16" t="s">
        <v>52</v>
      </c>
    </row>
  </sheetData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A07CEC9-752C-4C9D-827F-03105041093A}">
          <x14:formula1>
            <xm:f>Key!$B$4:$B$5</xm:f>
          </x14:formula1>
          <xm:sqref>B9:B19</xm:sqref>
        </x14:dataValidation>
        <x14:dataValidation type="list" allowBlank="1" showInputMessage="1" showErrorMessage="1" xr:uid="{DF3D4703-35B3-44BD-9731-4FC55FCE0E2E}">
          <x14:formula1>
            <xm:f>Key!$D$4:$D$6</xm:f>
          </x14:formula1>
          <xm:sqref>D9:D19</xm:sqref>
        </x14:dataValidation>
        <x14:dataValidation type="list" allowBlank="1" showInputMessage="1" showErrorMessage="1" xr:uid="{63F03A0B-F006-47A9-BABA-544447CE2685}">
          <x14:formula1>
            <xm:f>Key!$F$4:$F$10</xm:f>
          </x14:formula1>
          <xm:sqref>J9:J19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7FBA0-C907-4899-88BC-C47F7733D93B}">
  <dimension ref="B1:H10"/>
  <sheetViews>
    <sheetView workbookViewId="0">
      <selection activeCell="H9" sqref="H9"/>
    </sheetView>
  </sheetViews>
  <sheetFormatPr defaultRowHeight="15" x14ac:dyDescent="0.25"/>
  <cols>
    <col min="4" max="4" width="11.5703125" bestFit="1" customWidth="1"/>
    <col min="6" max="6" width="11.28515625" bestFit="1" customWidth="1"/>
  </cols>
  <sheetData>
    <row r="1" spans="2:8" ht="18.75" x14ac:dyDescent="0.3">
      <c r="E1" s="5" t="s">
        <v>17</v>
      </c>
      <c r="F1" s="5"/>
      <c r="G1" s="5"/>
      <c r="H1" s="5"/>
    </row>
    <row r="3" spans="2:8" x14ac:dyDescent="0.25">
      <c r="B3" s="3" t="s">
        <v>7</v>
      </c>
      <c r="D3" s="3" t="s">
        <v>9</v>
      </c>
      <c r="F3" s="3" t="s">
        <v>14</v>
      </c>
    </row>
    <row r="4" spans="2:8" x14ac:dyDescent="0.25">
      <c r="B4" s="4" t="s">
        <v>15</v>
      </c>
      <c r="D4" s="4" t="s">
        <v>37</v>
      </c>
      <c r="F4" s="4" t="s">
        <v>56</v>
      </c>
    </row>
    <row r="5" spans="2:8" x14ac:dyDescent="0.25">
      <c r="B5" s="4" t="s">
        <v>16</v>
      </c>
      <c r="D5" s="4" t="s">
        <v>38</v>
      </c>
      <c r="F5" s="4" t="s">
        <v>57</v>
      </c>
    </row>
    <row r="6" spans="2:8" x14ac:dyDescent="0.25">
      <c r="D6" s="4" t="s">
        <v>39</v>
      </c>
      <c r="F6" s="4" t="s">
        <v>58</v>
      </c>
    </row>
    <row r="7" spans="2:8" x14ac:dyDescent="0.25">
      <c r="F7" s="4" t="s">
        <v>59</v>
      </c>
    </row>
    <row r="8" spans="2:8" x14ac:dyDescent="0.25">
      <c r="F8" s="4" t="s">
        <v>60</v>
      </c>
    </row>
    <row r="9" spans="2:8" x14ac:dyDescent="0.25">
      <c r="F9" s="4" t="s">
        <v>61</v>
      </c>
    </row>
    <row r="10" spans="2:8" x14ac:dyDescent="0.25">
      <c r="F10" s="4" t="s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389B93C7462E46A0F31ED110482996" ma:contentTypeVersion="12" ma:contentTypeDescription="Create a new document." ma:contentTypeScope="" ma:versionID="68d4050c62f9c77daf46b7241574df64">
  <xsd:schema xmlns:xsd="http://www.w3.org/2001/XMLSchema" xmlns:xs="http://www.w3.org/2001/XMLSchema" xmlns:p="http://schemas.microsoft.com/office/2006/metadata/properties" xmlns:ns2="0e84dfe0-8136-4796-850a-5bd4ec1c456f" xmlns:ns3="7c6cb0d9-3ff1-4550-9d87-46fdadcd1729" targetNamespace="http://schemas.microsoft.com/office/2006/metadata/properties" ma:root="true" ma:fieldsID="39983762b9458fe14c1ec7ca9c6e0316" ns2:_="" ns3:_="">
    <xsd:import namespace="0e84dfe0-8136-4796-850a-5bd4ec1c456f"/>
    <xsd:import namespace="7c6cb0d9-3ff1-4550-9d87-46fdadcd17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84dfe0-8136-4796-850a-5bd4ec1c45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81377d7-4678-41c4-aba3-c68a5ebeb4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cb0d9-3ff1-4550-9d87-46fdadcd172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d2814d1-bf81-4b6c-82a7-853b8640d7b0}" ma:internalName="TaxCatchAll" ma:showField="CatchAllData" ma:web="7c6cb0d9-3ff1-4550-9d87-46fdadcd17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84dfe0-8136-4796-850a-5bd4ec1c456f">
      <Terms xmlns="http://schemas.microsoft.com/office/infopath/2007/PartnerControls"/>
    </lcf76f155ced4ddcb4097134ff3c332f>
    <TaxCatchAll xmlns="7c6cb0d9-3ff1-4550-9d87-46fdadcd1729" xsi:nil="true"/>
  </documentManagement>
</p:properties>
</file>

<file path=customXml/itemProps1.xml><?xml version="1.0" encoding="utf-8"?>
<ds:datastoreItem xmlns:ds="http://schemas.openxmlformats.org/officeDocument/2006/customXml" ds:itemID="{7B889DD4-E62B-44DC-8956-2A4B82EE5DA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DABD67B-9F4F-4E5D-8CC8-668498C55160}"/>
</file>

<file path=customXml/itemProps3.xml><?xml version="1.0" encoding="utf-8"?>
<ds:datastoreItem xmlns:ds="http://schemas.openxmlformats.org/officeDocument/2006/customXml" ds:itemID="{AE4DCFDD-9CBC-4B7D-9F44-272756E78F31}"/>
</file>

<file path=customXml/itemProps4.xml><?xml version="1.0" encoding="utf-8"?>
<ds:datastoreItem xmlns:ds="http://schemas.openxmlformats.org/officeDocument/2006/customXml" ds:itemID="{096863BD-579B-4CE4-A491-169FE439EB4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Agile_table</vt:lpstr>
      <vt:lpstr>Plan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Adikwu</dc:creator>
  <cp:lastModifiedBy>John Adikwu</cp:lastModifiedBy>
  <dcterms:created xsi:type="dcterms:W3CDTF">2026-10-05T19:19:39Z</dcterms:created>
  <dcterms:modified xsi:type="dcterms:W3CDTF">2026-10-06T13:13:07Z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0x010100C7389B93C7462E46A0F31ED110482996</vt:lpwstr>
  </property>
</Properties>
</file>